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rinter A - Inkjet" sheetId="2" state="visible" r:id="rId4"/>
    <sheet name="Printer B - Laser" sheetId="3" state="visible" r:id="rId5"/>
    <sheet name="Comparison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<sst xmlns="http://schemas.openxmlformats.org/spreadsheetml/2006/main" count="145" uniqueCount="118">
  <si>
    <t xml:space="preserve">TCO Analysis – Printer Comparison | BRG-ISEA Lab 2a</t>
  </si>
  <si>
    <t xml:space="preserve">ASSUMPTIONS &amp; SCENARIO SETUP</t>
  </si>
  <si>
    <t xml:space="preserve">Parameter</t>
  </si>
  <si>
    <t xml:space="preserve">Value</t>
  </si>
  <si>
    <t xml:space="preserve">Unit</t>
  </si>
  <si>
    <t xml:space="preserve">Notes</t>
  </si>
  <si>
    <t xml:space="preserve">Comparison Period</t>
  </si>
  <si>
    <t xml:space="preserve">years</t>
  </si>
  <si>
    <t xml:space="preserve">How long we evaluate costs</t>
  </si>
  <si>
    <t xml:space="preserve">Pages Printed per Week</t>
  </si>
  <si>
    <t xml:space="preserve">pages</t>
  </si>
  <si>
    <t xml:space="preserve">Lab default assumption</t>
  </si>
  <si>
    <t xml:space="preserve">Power On per Week</t>
  </si>
  <si>
    <t xml:space="preserve">hours</t>
  </si>
  <si>
    <t xml:space="preserve">Electricity Cost</t>
  </si>
  <si>
    <t xml:space="preserve">$/kWh</t>
  </si>
  <si>
    <t xml:space="preserve">Singapore average ~SGD 0.30</t>
  </si>
  <si>
    <t xml:space="preserve">Reams of Paper (500 pg)</t>
  </si>
  <si>
    <t xml:space="preserve">$/ream</t>
  </si>
  <si>
    <t xml:space="preserve">Officeworks / local estimate</t>
  </si>
  <si>
    <t xml:space="preserve">Weeks per Year</t>
  </si>
  <si>
    <t xml:space="preserve">weeks</t>
  </si>
  <si>
    <t xml:space="preserve">Fixed calendar constant</t>
  </si>
  <si>
    <t xml:space="preserve">DERIVED VALUES</t>
  </si>
  <si>
    <t xml:space="preserve">Derived Metric</t>
  </si>
  <si>
    <t xml:space="preserve">Formula</t>
  </si>
  <si>
    <t xml:space="preserve">Total Weeks in Period</t>
  </si>
  <si>
    <t xml:space="preserve">Total Pages Printed</t>
  </si>
  <si>
    <t xml:space="preserve">PRINTER MODELS CHOSEN</t>
  </si>
  <si>
    <t xml:space="preserve">Printer</t>
  </si>
  <si>
    <t xml:space="preserve">Brand &amp; Model</t>
  </si>
  <si>
    <t xml:space="preserve">Type</t>
  </si>
  <si>
    <t xml:space="preserve">Category</t>
  </si>
  <si>
    <t xml:space="preserve">Printer A</t>
  </si>
  <si>
    <t xml:space="preserve">HP DeskJet 2755e</t>
  </si>
  <si>
    <t xml:space="preserve">Inkjet</t>
  </si>
  <si>
    <t xml:space="preserve">Budget home/small office inkjet</t>
  </si>
  <si>
    <t xml:space="preserve">Printer B</t>
  </si>
  <si>
    <t xml:space="preserve">Brother HL-L2350DW</t>
  </si>
  <si>
    <t xml:space="preserve">Laser</t>
  </si>
  <si>
    <t xml:space="preserve">Entry-level office mono laser</t>
  </si>
  <si>
    <t xml:space="preserve">Printer A – HP DeskJet 2755e (Inkjet) | TCO Over 5 Years</t>
  </si>
  <si>
    <t xml:space="preserve">Item Description</t>
  </si>
  <si>
    <t xml:space="preserve">Type
(Fixed/Var)</t>
  </si>
  <si>
    <t xml:space="preserve">Unit Price (SGD)</t>
  </si>
  <si>
    <t xml:space="preserve">Units Consumed</t>
  </si>
  <si>
    <t xml:space="preserve">Total Cost (SGD)</t>
  </si>
  <si>
    <t xml:space="preserve">Source / Notes</t>
  </si>
  <si>
    <t xml:space="preserve">Printer Purchase (HP DeskJet 2755e)</t>
  </si>
  <si>
    <t xml:space="preserve">Fixed</t>
  </si>
  <si>
    <t xml:space="preserve">1</t>
  </si>
  <si>
    <t xml:space="preserve">Officeworks / Amazon SG</t>
  </si>
  <si>
    <t xml:space="preserve">Black Ink Cartridge (HP 65 Black, ~120 pg yield)</t>
  </si>
  <si>
    <t xml:space="preserve">Variable</t>
  </si>
  <si>
    <t xml:space="preserve">HP spec sheet; 120 pages/cartridge</t>
  </si>
  <si>
    <t xml:space="preserve">Colour Ink Cartridge (HP 65 Colour, ~100 pg yield)</t>
  </si>
  <si>
    <t xml:space="preserve">HP spec sheet; 100 pages/cartridge (blended)</t>
  </si>
  <si>
    <t xml:space="preserve">Paper (Reams of 500 sheets)</t>
  </si>
  <si>
    <t xml:space="preserve">Local office supply; $6/ream</t>
  </si>
  <si>
    <t xml:space="preserve">Electricity (Printer ~15W, 40 hrs/wk)</t>
  </si>
  <si>
    <t xml:space="preserve">15W × 40 hrs × 260 weeks × $0.30/kWh</t>
  </si>
  <si>
    <t xml:space="preserve">Maintenance / Head Cleaning Kit</t>
  </si>
  <si>
    <t xml:space="preserve">~$15/year estimate</t>
  </si>
  <si>
    <t xml:space="preserve">Replacement Printer (end of life ~3 yrs)</t>
  </si>
  <si>
    <t xml:space="preserve">Inkjet avg lifespan ~3 yrs; 1 replacement over 5 yr</t>
  </si>
  <si>
    <t xml:space="preserve">TOTAL COST OF OWNERSHIP – Printer A (Inkjet)</t>
  </si>
  <si>
    <t xml:space="preserve">Printer B – Brother HL-L2350DW (Laser) | TCO Over 5 Years</t>
  </si>
  <si>
    <t xml:space="preserve">Printer Purchase (Brother HL-L2350DW)</t>
  </si>
  <si>
    <t xml:space="preserve">Toner Cartridge (TN-2450, ~3,000 pg yield)</t>
  </si>
  <si>
    <t xml:space="preserve">Brother spec; 3000 pages/cartridge</t>
  </si>
  <si>
    <t xml:space="preserve">Drum Unit (DR-2425, ~12,000 pg)</t>
  </si>
  <si>
    <t xml:space="preserve">Brother spec; 12000 pages/drum</t>
  </si>
  <si>
    <t xml:space="preserve">Electricity (Laser ~400W active, 40 hrs/wk)</t>
  </si>
  <si>
    <t xml:space="preserve">400W × 40 hrs × 260 weeks × $0.30/kWh</t>
  </si>
  <si>
    <t xml:space="preserve">Maintenance / Service</t>
  </si>
  <si>
    <t xml:space="preserve">~$20/year estimate</t>
  </si>
  <si>
    <t xml:space="preserve">TOTAL COST OF OWNERSHIP – Printer B (Laser)</t>
  </si>
  <si>
    <t xml:space="preserve">TCO Comparison Summary – Inkjet vs Laser (5-Year Analysis)</t>
  </si>
  <si>
    <t xml:space="preserve">COST SUMMARY</t>
  </si>
  <si>
    <t xml:space="preserve">Metric</t>
  </si>
  <si>
    <t xml:space="preserve">Printer A (Inkjet)</t>
  </si>
  <si>
    <t xml:space="preserve">Printer B (Laser)</t>
  </si>
  <si>
    <t xml:space="preserve">Difference (A−B)</t>
  </si>
  <si>
    <t xml:space="preserve">Better Option</t>
  </si>
  <si>
    <t xml:space="preserve">Total 5-Year TCO (SGD)</t>
  </si>
  <si>
    <t xml:space="preserve">-</t>
  </si>
  <si>
    <t xml:space="preserve">Cost per Page (SGD)</t>
  </si>
  <si>
    <t xml:space="preserve">Printer Purchase Cost</t>
  </si>
  <si>
    <t xml:space="preserve">3-YEAR COST PROJECTION</t>
  </si>
  <si>
    <t xml:space="preserve">Year</t>
  </si>
  <si>
    <t xml:space="preserve">Inkjet Cumul.</t>
  </si>
  <si>
    <t xml:space="preserve">Laser Cumul.</t>
  </si>
  <si>
    <t xml:space="preserve">Inkjet Annual</t>
  </si>
  <si>
    <t xml:space="preserve">Laser Annual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</si>
  <si>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</si>
  <si>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</si>
  <si>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</si>
  <si>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</si>
  <si>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</si>
  <si>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REFLECTION QUESTIONS</t>
  </si>
  <si>
    <t xml:space="preserve">Q#</t>
  </si>
  <si>
    <t xml:space="preserve">Question</t>
  </si>
  <si>
    <t xml:space="preserve">Answer</t>
  </si>
  <si>
    <t xml:space="preserve">Q1</t>
  </si>
  <si>
    <t xml:space="preserve">Based on TCO, which printer is most cost-effective over 5 years?</t>
  </si>
  <si>
    <t xml:space="preserve">Laser (Brother HL-L2350DW) – lower cost per page despite higher upfront cost</t>
  </si>
  <si>
    <t xml:space="preserve">Q2</t>
  </si>
  <si>
    <t xml:space="preserve">Would the answer change for a home user printing 5 pages/week?</t>
  </si>
  <si>
    <t xml:space="preserve">Yes – inkjet becomes cheaper; low volume doesn't justify laser's upfront cost</t>
  </si>
  <si>
    <t xml:space="preserve">Q3</t>
  </si>
  <si>
    <t xml:space="preserve">What non-financial factors should be considered?</t>
  </si>
  <si>
    <t xml:space="preserve">Print quality, speed, noise, space, wireless connectivity, brand support</t>
  </si>
  <si>
    <t xml:space="preserve">Q4</t>
  </si>
  <si>
    <t xml:space="preserve">What cost components are most significant for a workgroup printer?</t>
  </si>
  <si>
    <t xml:space="preserve">Toner/consumables, duty cycle, paper handling capacity, maintenance contracts</t>
  </si>
  <si>
    <t xml:space="preserve">Q5</t>
  </si>
  <si>
    <t xml:space="preserve">At what point do both printers break even in cost?</t>
  </si>
  <si>
    <t xml:space="preserve">See 3-Year Projection above – crossover typically around Year 2–3 at 750 pg/wk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</si>
</sst>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#,##0"/>
    <numFmt numFmtId="168" formatCode="\$#,##0.00"/>
    <numFmt numFmtId="169" formatCode="#,##0.0"/>
    <numFmt numFmtId="170" formatCode="\$#,##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i val="true"/>
      <sz val="10"/>
      <color rgb="FF0064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5</v>
      </c>
      <c r="C5" s="6" t="s">
        <v>7</v>
      </c>
      <c r="D5" s="7" t="s">
        <v>8</v>
      </c>
    </row>
    <row r="6" customFormat="false" ht="15" hidden="false" customHeight="false" outlineLevel="0" collapsed="false">
      <c r="A6" s="4" t="s">
        <v>9</v>
      </c>
      <c r="B6" s="5" t="n">
        <v>750</v>
      </c>
      <c r="C6" s="6" t="s">
        <v>10</v>
      </c>
      <c r="D6" s="7" t="s">
        <v>11</v>
      </c>
    </row>
    <row r="7" customFormat="false" ht="15" hidden="false" customHeight="false" outlineLevel="0" collapsed="false">
      <c r="A7" s="4" t="s">
        <v>12</v>
      </c>
      <c r="B7" s="5" t="n">
        <v>40</v>
      </c>
      <c r="C7" s="6" t="s">
        <v>13</v>
      </c>
      <c r="D7" s="7" t="s">
        <v>11</v>
      </c>
    </row>
    <row r="8" customFormat="false" ht="15" hidden="false" customHeight="false" outlineLevel="0" collapsed="false">
      <c r="A8" s="4" t="s">
        <v>14</v>
      </c>
      <c r="B8" s="5" t="n">
        <v>0.3</v>
      </c>
      <c r="C8" s="6" t="s">
        <v>15</v>
      </c>
      <c r="D8" s="7" t="s">
        <v>16</v>
      </c>
    </row>
    <row r="9" customFormat="false" ht="15" hidden="false" customHeight="false" outlineLevel="0" collapsed="false">
      <c r="A9" s="4" t="s">
        <v>17</v>
      </c>
      <c r="B9" s="8" t="n">
        <f aca="false">B5</f>
        <v>5</v>
      </c>
      <c r="C9" s="6" t="s">
        <v>18</v>
      </c>
      <c r="D9" s="7" t="s">
        <v>19</v>
      </c>
    </row>
    <row r="10" customFormat="false" ht="15" hidden="false" customHeight="false" outlineLevel="0" collapsed="false">
      <c r="A10" s="4" t="s">
        <v>20</v>
      </c>
      <c r="B10" s="8" t="n">
        <f aca="false">B9</f>
        <v>5</v>
      </c>
      <c r="C10" s="6" t="s">
        <v>21</v>
      </c>
      <c r="D10" s="7" t="s">
        <v>22</v>
      </c>
    </row>
    <row r="12" customFormat="false" ht="15" hidden="false" customHeight="false" outlineLevel="0" collapsed="false">
      <c r="A12" s="2" t="s">
        <v>23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24</v>
      </c>
      <c r="B13" s="3" t="s">
        <v>25</v>
      </c>
      <c r="C13" s="3" t="s">
        <v>3</v>
      </c>
    </row>
    <row r="14" customFormat="false" ht="15" hidden="false" customHeight="false" outlineLevel="0" collapsed="false">
      <c r="A14" s="9" t="s">
        <v>26</v>
      </c>
      <c r="B14" s="10" t="n">
        <f aca="false">B5*52</f>
        <v>260</v>
      </c>
      <c r="C14" s="6" t="s">
        <v>21</v>
      </c>
    </row>
    <row r="15" customFormat="false" ht="15" hidden="false" customHeight="false" outlineLevel="0" collapsed="false">
      <c r="A15" s="9" t="s">
        <v>27</v>
      </c>
      <c r="B15" s="11" t="n">
        <f aca="false">B6*B14</f>
        <v>195000</v>
      </c>
      <c r="C15" s="6" t="s">
        <v>10</v>
      </c>
    </row>
    <row r="17" customFormat="false" ht="15" hidden="false" customHeight="false" outlineLevel="0" collapsed="false">
      <c r="A17" s="2" t="s">
        <v>28</v>
      </c>
      <c r="B17" s="2"/>
      <c r="C17" s="2"/>
      <c r="D17" s="2"/>
      <c r="E17" s="2"/>
      <c r="F17" s="2"/>
    </row>
    <row r="18" customFormat="false" ht="15" hidden="false" customHeight="false" outlineLevel="0" collapsed="false">
      <c r="A18" s="3" t="s">
        <v>29</v>
      </c>
      <c r="B18" s="3" t="s">
        <v>30</v>
      </c>
      <c r="C18" s="3" t="s">
        <v>31</v>
      </c>
      <c r="D18" s="3" t="s">
        <v>32</v>
      </c>
    </row>
    <row r="19" customFormat="false" ht="15" hidden="false" customHeight="false" outlineLevel="0" collapsed="false">
      <c r="A19" s="12" t="s">
        <v>33</v>
      </c>
      <c r="B19" s="13" t="s">
        <v>34</v>
      </c>
      <c r="C19" s="6" t="s">
        <v>35</v>
      </c>
      <c r="D19" s="14" t="s">
        <v>36</v>
      </c>
    </row>
    <row r="20" customFormat="false" ht="15" hidden="false" customHeight="false" outlineLevel="0" collapsed="false">
      <c r="A20" s="15" t="s">
        <v>37</v>
      </c>
      <c r="B20" s="13" t="s">
        <v>38</v>
      </c>
      <c r="C20" s="6" t="s">
        <v>39</v>
      </c>
      <c r="D20" s="14" t="s">
        <v>40</v>
      </c>
    </row>
  </sheetData>
  <mergeCells count="4">
    <mergeCell ref="A1:F1"/>
    <mergeCell ref="A3:F3"/>
    <mergeCell ref="A12:F1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10"/>
  </cols>
  <sheetData>
    <row r="1" customFormat="false" ht="34.5" hidden="false" customHeight="true" outlineLevel="0" collapsed="false">
      <c r="A1" s="16" t="s">
        <v>41</v>
      </c>
      <c r="B1" s="16"/>
      <c r="C1" s="16"/>
      <c r="D1" s="16"/>
      <c r="E1" s="16"/>
      <c r="F1" s="16"/>
      <c r="G1" s="16"/>
    </row>
    <row r="3" customFormat="false" ht="30" hidden="false" customHeight="true" outlineLevel="0" collapsed="false">
      <c r="A3" s="17" t="s">
        <v>42</v>
      </c>
      <c r="B3" s="17" t="s">
        <v>43</v>
      </c>
      <c r="C3" s="17" t="s">
        <v>44</v>
      </c>
      <c r="D3" s="17" t="s">
        <v>45</v>
      </c>
      <c r="E3" s="17" t="s">
        <v>46</v>
      </c>
      <c r="F3" s="17" t="s">
        <v>47</v>
      </c>
    </row>
    <row r="4" customFormat="false" ht="15" hidden="false" customHeight="false" outlineLevel="0" collapsed="false">
      <c r="A4" s="4" t="s">
        <v>48</v>
      </c>
      <c r="B4" s="18" t="s">
        <v>49</v>
      </c>
      <c r="C4" s="19" t="n">
        <v>79</v>
      </c>
      <c r="D4" s="20" t="s">
        <v>50</v>
      </c>
      <c r="E4" s="21" t="n">
        <f aca="false">C4*D4</f>
        <v>79</v>
      </c>
      <c r="F4" s="7" t="s">
        <v>51</v>
      </c>
    </row>
    <row r="5" customFormat="false" ht="15" hidden="false" customHeight="false" outlineLevel="0" collapsed="false">
      <c r="A5" s="22" t="s">
        <v>52</v>
      </c>
      <c r="B5" s="23" t="s">
        <v>53</v>
      </c>
      <c r="C5" s="19" t="n">
        <v>18</v>
      </c>
      <c r="D5" s="20" t="n">
        <f aca="false">Assumptions!B15/120</f>
        <v>1625</v>
      </c>
      <c r="E5" s="21" t="n">
        <f aca="false">C5*D5</f>
        <v>29250</v>
      </c>
      <c r="F5" s="7" t="s">
        <v>54</v>
      </c>
    </row>
    <row r="6" customFormat="false" ht="15" hidden="false" customHeight="false" outlineLevel="0" collapsed="false">
      <c r="A6" s="22" t="s">
        <v>55</v>
      </c>
      <c r="B6" s="23" t="s">
        <v>53</v>
      </c>
      <c r="C6" s="19" t="n">
        <v>22</v>
      </c>
      <c r="D6" s="20" t="n">
        <f aca="false">Assumptions!B15/100</f>
        <v>1950</v>
      </c>
      <c r="E6" s="21" t="n">
        <f aca="false">C6*D6</f>
        <v>42900</v>
      </c>
      <c r="F6" s="7" t="s">
        <v>56</v>
      </c>
    </row>
    <row r="7" customFormat="false" ht="15" hidden="false" customHeight="false" outlineLevel="0" collapsed="false">
      <c r="A7" s="22" t="s">
        <v>57</v>
      </c>
      <c r="B7" s="23" t="s">
        <v>53</v>
      </c>
      <c r="C7" s="19" t="n">
        <v>6</v>
      </c>
      <c r="D7" s="20" t="n">
        <f aca="false">Assumptions!B15/500</f>
        <v>390</v>
      </c>
      <c r="E7" s="21" t="n">
        <f aca="false">C7*D7</f>
        <v>2340</v>
      </c>
      <c r="F7" s="7" t="s">
        <v>58</v>
      </c>
    </row>
    <row r="8" customFormat="false" ht="15" hidden="false" customHeight="false" outlineLevel="0" collapsed="false">
      <c r="A8" s="22" t="s">
        <v>59</v>
      </c>
      <c r="B8" s="23" t="s">
        <v>53</v>
      </c>
      <c r="C8" s="19" t="n">
        <v>0.3</v>
      </c>
      <c r="D8" s="20" t="n">
        <f aca="false">0.015*Assumptions!B14*40</f>
        <v>156</v>
      </c>
      <c r="E8" s="21" t="n">
        <f aca="false">C8*D8</f>
        <v>46.8</v>
      </c>
      <c r="F8" s="7" t="s">
        <v>60</v>
      </c>
    </row>
    <row r="9" customFormat="false" ht="15" hidden="false" customHeight="false" outlineLevel="0" collapsed="false">
      <c r="A9" s="22" t="s">
        <v>61</v>
      </c>
      <c r="B9" s="23" t="s">
        <v>53</v>
      </c>
      <c r="C9" s="19" t="n">
        <v>15</v>
      </c>
      <c r="D9" s="20" t="n">
        <f aca="false">Assumptions!B5</f>
        <v>5</v>
      </c>
      <c r="E9" s="21" t="n">
        <f aca="false">C9*D9</f>
        <v>75</v>
      </c>
      <c r="F9" s="7" t="s">
        <v>62</v>
      </c>
    </row>
    <row r="10" customFormat="false" ht="15" hidden="false" customHeight="false" outlineLevel="0" collapsed="false">
      <c r="A10" s="4" t="s">
        <v>63</v>
      </c>
      <c r="B10" s="18" t="s">
        <v>49</v>
      </c>
      <c r="C10" s="19" t="n">
        <v>79</v>
      </c>
      <c r="D10" s="20" t="s">
        <v>50</v>
      </c>
      <c r="E10" s="21" t="n">
        <f aca="false">C10*D10</f>
        <v>79</v>
      </c>
      <c r="F10" s="7" t="s">
        <v>64</v>
      </c>
    </row>
    <row r="11" customFormat="false" ht="15" hidden="false" customHeight="false" outlineLevel="0" collapsed="false">
      <c r="A11" s="24" t="s">
        <v>65</v>
      </c>
      <c r="B11" s="24"/>
      <c r="C11" s="24"/>
      <c r="D11" s="24"/>
      <c r="E11" s="25" t="n">
        <f aca="false">SUM(E4:E10)</f>
        <v>74769.8</v>
      </c>
    </row>
  </sheetData>
  <mergeCells count="2">
    <mergeCell ref="A1:G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10"/>
  </cols>
  <sheetData>
    <row r="1" customFormat="false" ht="34.5" hidden="false" customHeight="true" outlineLevel="0" collapsed="false">
      <c r="A1" s="16" t="s">
        <v>66</v>
      </c>
      <c r="B1" s="16"/>
      <c r="C1" s="16"/>
      <c r="D1" s="16"/>
      <c r="E1" s="16"/>
      <c r="F1" s="16"/>
      <c r="G1" s="16"/>
    </row>
    <row r="3" customFormat="false" ht="30" hidden="false" customHeight="true" outlineLevel="0" collapsed="false">
      <c r="A3" s="17" t="s">
        <v>42</v>
      </c>
      <c r="B3" s="17" t="s">
        <v>43</v>
      </c>
      <c r="C3" s="17" t="s">
        <v>44</v>
      </c>
      <c r="D3" s="17" t="s">
        <v>45</v>
      </c>
      <c r="E3" s="17" t="s">
        <v>46</v>
      </c>
      <c r="F3" s="17" t="s">
        <v>47</v>
      </c>
    </row>
    <row r="4" customFormat="false" ht="15" hidden="false" customHeight="false" outlineLevel="0" collapsed="false">
      <c r="A4" s="4" t="s">
        <v>67</v>
      </c>
      <c r="B4" s="18" t="s">
        <v>49</v>
      </c>
      <c r="C4" s="19" t="n">
        <v>189</v>
      </c>
      <c r="D4" s="26" t="n">
        <v>1</v>
      </c>
      <c r="E4" s="21" t="n">
        <f aca="false">C4*D4</f>
        <v>189</v>
      </c>
      <c r="F4" s="7" t="s">
        <v>51</v>
      </c>
    </row>
    <row r="5" customFormat="false" ht="15" hidden="false" customHeight="false" outlineLevel="0" collapsed="false">
      <c r="A5" s="22" t="s">
        <v>68</v>
      </c>
      <c r="B5" s="23" t="s">
        <v>53</v>
      </c>
      <c r="C5" s="19" t="n">
        <v>48</v>
      </c>
      <c r="D5" s="20" t="n">
        <f aca="false">Assumptions!B15/3000</f>
        <v>65</v>
      </c>
      <c r="E5" s="21" t="n">
        <f aca="false">C5*D5</f>
        <v>3120</v>
      </c>
      <c r="F5" s="7" t="s">
        <v>69</v>
      </c>
    </row>
    <row r="6" customFormat="false" ht="15" hidden="false" customHeight="false" outlineLevel="0" collapsed="false">
      <c r="A6" s="22" t="s">
        <v>70</v>
      </c>
      <c r="B6" s="23" t="s">
        <v>53</v>
      </c>
      <c r="C6" s="19" t="n">
        <v>75</v>
      </c>
      <c r="D6" s="20" t="n">
        <f aca="false">Assumptions!B15/12000</f>
        <v>16.25</v>
      </c>
      <c r="E6" s="21" t="n">
        <f aca="false">C6*D6</f>
        <v>1218.75</v>
      </c>
      <c r="F6" s="7" t="s">
        <v>71</v>
      </c>
    </row>
    <row r="7" customFormat="false" ht="15" hidden="false" customHeight="false" outlineLevel="0" collapsed="false">
      <c r="A7" s="22" t="s">
        <v>57</v>
      </c>
      <c r="B7" s="23" t="s">
        <v>53</v>
      </c>
      <c r="C7" s="19" t="n">
        <v>6</v>
      </c>
      <c r="D7" s="20" t="n">
        <f aca="false">Assumptions!B15/500</f>
        <v>390</v>
      </c>
      <c r="E7" s="21" t="n">
        <f aca="false">C7*D7</f>
        <v>2340</v>
      </c>
      <c r="F7" s="7" t="s">
        <v>58</v>
      </c>
    </row>
    <row r="8" customFormat="false" ht="15" hidden="false" customHeight="false" outlineLevel="0" collapsed="false">
      <c r="A8" s="22" t="s">
        <v>72</v>
      </c>
      <c r="B8" s="23" t="s">
        <v>53</v>
      </c>
      <c r="C8" s="19" t="n">
        <v>0.3</v>
      </c>
      <c r="D8" s="20" t="n">
        <f aca="false">0.4*Assumptions!B14*40</f>
        <v>4160</v>
      </c>
      <c r="E8" s="21" t="n">
        <f aca="false">C8*D8</f>
        <v>1248</v>
      </c>
      <c r="F8" s="7" t="s">
        <v>73</v>
      </c>
    </row>
    <row r="9" customFormat="false" ht="15" hidden="false" customHeight="false" outlineLevel="0" collapsed="false">
      <c r="A9" s="22" t="s">
        <v>74</v>
      </c>
      <c r="B9" s="23" t="s">
        <v>53</v>
      </c>
      <c r="C9" s="19" t="n">
        <v>20</v>
      </c>
      <c r="D9" s="20" t="n">
        <f aca="false">Assumptions!B5</f>
        <v>5</v>
      </c>
      <c r="E9" s="21" t="n">
        <f aca="false">C9*D9</f>
        <v>100</v>
      </c>
      <c r="F9" s="7" t="s">
        <v>75</v>
      </c>
    </row>
    <row r="10" customFormat="false" ht="15" hidden="false" customHeight="false" outlineLevel="0" collapsed="false">
      <c r="A10" s="24" t="s">
        <v>76</v>
      </c>
      <c r="B10" s="24"/>
      <c r="C10" s="24"/>
      <c r="D10" s="24"/>
      <c r="E10" s="25" t="n">
        <f aca="false">SUM(E4:E9)</f>
        <v>8215.75</v>
      </c>
    </row>
  </sheetData>
  <mergeCells count="2">
    <mergeCell ref="A1:G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34.5" hidden="false" customHeight="true" outlineLevel="0" collapsed="false">
      <c r="A1" s="16" t="s">
        <v>77</v>
      </c>
      <c r="B1" s="16"/>
      <c r="C1" s="16"/>
      <c r="D1" s="16"/>
      <c r="E1" s="16"/>
    </row>
    <row r="3" customFormat="false" ht="15" hidden="false" customHeight="false" outlineLevel="0" collapsed="false">
      <c r="A3" s="2" t="s">
        <v>78</v>
      </c>
      <c r="B3" s="2"/>
      <c r="C3" s="2"/>
      <c r="D3" s="2"/>
      <c r="E3" s="2"/>
    </row>
    <row r="4" customFormat="false" ht="24.75" hidden="false" customHeight="true" outlineLevel="0" collapsed="false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</row>
    <row r="5" customFormat="false" ht="15" hidden="false" customHeight="false" outlineLevel="0" collapsed="false">
      <c r="A5" s="27" t="s">
        <v>84</v>
      </c>
      <c r="B5" s="28" t="n">
        <f aca="false">'Printer A - Inkjet'!E11</f>
        <v>74769.8</v>
      </c>
      <c r="C5" s="28" t="n">
        <f aca="false">'Printer B - Laser'!E10</f>
        <v>8215.75</v>
      </c>
      <c r="D5" s="21" t="n">
        <f aca="false">B5-C5</f>
        <v>66554.05</v>
      </c>
      <c r="E5" s="29" t="str">
        <f aca="false">IF(B5&lt;C5,"Inkjet ✓","Laser ✓")</f>
        <v>Laser ✓</v>
      </c>
    </row>
    <row r="6" customFormat="false" ht="15" hidden="false" customHeight="false" outlineLevel="0" collapsed="false">
      <c r="A6" s="27" t="s">
        <v>27</v>
      </c>
      <c r="B6" s="30" t="n">
        <f aca="false">Assumptions!B15</f>
        <v>195000</v>
      </c>
      <c r="C6" s="30" t="n">
        <f aca="false">Assumptions!B15</f>
        <v>195000</v>
      </c>
      <c r="D6" s="31" t="s">
        <v>85</v>
      </c>
      <c r="E6" s="29" t="s">
        <v>85</v>
      </c>
    </row>
    <row r="7" customFormat="false" ht="15" hidden="false" customHeight="false" outlineLevel="0" collapsed="false">
      <c r="A7" s="27" t="s">
        <v>86</v>
      </c>
      <c r="B7" s="28" t="n">
        <f aca="false">B5/Assumptions!B15</f>
        <v>0.383434871794872</v>
      </c>
      <c r="C7" s="28" t="n">
        <f aca="false">C5/Assumptions!B15</f>
        <v>0.0421320512820513</v>
      </c>
      <c r="D7" s="21" t="n">
        <f aca="false">B6-C6</f>
        <v>0</v>
      </c>
      <c r="E7" s="29" t="str">
        <f aca="false">IF(B6&lt;C6,"Inkjet ✓","Laser ✓")</f>
        <v>Laser ✓</v>
      </c>
    </row>
    <row r="8" customFormat="false" ht="15" hidden="false" customHeight="false" outlineLevel="0" collapsed="false">
      <c r="A8" s="27" t="s">
        <v>87</v>
      </c>
      <c r="B8" s="28" t="n">
        <f aca="false">79+79</f>
        <v>158</v>
      </c>
      <c r="C8" s="28" t="n">
        <f aca="false">189</f>
        <v>189</v>
      </c>
      <c r="D8" s="21" t="n">
        <f aca="false">B7-C7</f>
        <v>0.341302820512821</v>
      </c>
      <c r="E8" s="29" t="str">
        <f aca="false">IF(B7&lt;C7,"Inkjet ✓","Laser ✓")</f>
        <v>Laser ✓</v>
      </c>
    </row>
    <row r="10" customFormat="false" ht="15" hidden="false" customHeight="false" outlineLevel="0" collapsed="false">
      <c r="A10" s="2" t="s">
        <v>88</v>
      </c>
      <c r="B10" s="2"/>
      <c r="C10" s="2"/>
      <c r="D10" s="2"/>
      <c r="E10" s="2"/>
    </row>
    <row r="11" customFormat="false" ht="15" hidden="false" customHeight="false" outlineLevel="0" collapsed="false">
      <c r="A11" s="3" t="s">
        <v>89</v>
      </c>
      <c r="B11" s="3" t="s">
        <v>90</v>
      </c>
      <c r="C11" s="3" t="s">
        <v>91</v>
      </c>
      <c r="D11" s="3" t="s">
        <v>92</v>
      </c>
      <c r="E11" s="3" t="s">
        <v>93</v>
      </c>
    </row>
    <row r="12" customFormat="false" ht="15" hidden="false" customHeight="false" outlineLevel="0" collapsed="false">
      <c r="A12" s="32" t="s">
        <v>94</v>
      </c>
      <c r="B12" s="21" t="n">
        <f aca="false">D12*1</f>
        <v>14953.96</v>
      </c>
      <c r="C12" s="21" t="n">
        <f aca="false">E12*1</f>
        <v>1643.15</v>
      </c>
      <c r="D12" s="21" t="n">
        <f aca="false">'Printer A - Inkjet'!E11/5</f>
        <v>14953.96</v>
      </c>
      <c r="E12" s="21" t="n">
        <f aca="false">'Printer B - Laser'!E10/5</f>
        <v>1643.15</v>
      </c>
    </row>
    <row r="13" customFormat="false" ht="15" hidden="false" customHeight="false" outlineLevel="0" collapsed="false">
      <c r="A13" s="32" t="s">
        <v>95</v>
      </c>
      <c r="B13" s="21" t="n">
        <f aca="false">D12*2</f>
        <v>29907.92</v>
      </c>
      <c r="C13" s="21" t="n">
        <f aca="false">E12*2</f>
        <v>3286.3</v>
      </c>
      <c r="D13" s="21" t="n">
        <f aca="false">'Printer A - Inkjet'!E11/5</f>
        <v>14953.96</v>
      </c>
      <c r="E13" s="21" t="n">
        <f aca="false">'Printer B - Laser'!E10/5</f>
        <v>1643.15</v>
      </c>
    </row>
    <row r="14" customFormat="false" ht="15" hidden="false" customHeight="false" outlineLevel="0" collapsed="false">
      <c r="A14" s="32" t="s">
        <v>96</v>
      </c>
      <c r="B14" s="21" t="n">
        <f aca="false">D12*3</f>
        <v>44861.88</v>
      </c>
      <c r="C14" s="21" t="n">
        <f aca="false">E12*3</f>
        <v>4929.45</v>
      </c>
      <c r="D14" s="21" t="n">
        <f aca="false">'Printer A - Inkjet'!E11/5</f>
        <v>14953.96</v>
      </c>
      <c r="E14" s="21" t="n">
        <f aca="false">'Printer B - Laser'!E10/5</f>
        <v>1643.15</v>
      </c>
    </row>
    <row r="15" customFormat="false" ht="15" hidden="false" customHeight="false" outlineLevel="0" collapsed="false">
      <c r="A15" s="32" t="s">
        <v>97</v>
      </c>
      <c r="B15" s="21" t="n">
        <f aca="false">D12*4</f>
        <v>59815.84</v>
      </c>
      <c r="C15" s="21" t="n">
        <f aca="false">E12*4</f>
        <v>6572.6</v>
      </c>
      <c r="D15" s="21" t="n">
        <f aca="false">'Printer A - Inkjet'!E11/5</f>
        <v>14953.96</v>
      </c>
      <c r="E15" s="21" t="n">
        <f aca="false">'Printer B - Laser'!E10/5</f>
        <v>1643.15</v>
      </c>
    </row>
    <row r="16" customFormat="false" ht="15" hidden="false" customHeight="false" outlineLevel="0" collapsed="false">
      <c r="A16" s="32" t="s">
        <v>98</v>
      </c>
      <c r="B16" s="21" t="n">
        <f aca="false">D12*5</f>
        <v>74769.8</v>
      </c>
      <c r="C16" s="21" t="n">
        <f aca="false">E12*5</f>
        <v>8215.75</v>
      </c>
      <c r="D16" s="21" t="n">
        <f aca="false">'Printer A - Inkjet'!E11/5</f>
        <v>14953.96</v>
      </c>
      <c r="E16" s="21" t="n">
        <f aca="false">'Printer B - Laser'!E10/5</f>
        <v>1643.15</v>
      </c>
    </row>
    <row r="19" customFormat="false" ht="15" hidden="false" customHeight="false" outlineLevel="0" collapsed="false">
      <c r="A19" s="2" t="s">
        <v>99</v>
      </c>
      <c r="B19" s="2"/>
      <c r="C19" s="2"/>
      <c r="D19" s="2"/>
      <c r="E19" s="2"/>
    </row>
    <row r="20" customFormat="false" ht="15" hidden="false" customHeight="false" outlineLevel="0" collapsed="false">
      <c r="A20" s="3" t="s">
        <v>100</v>
      </c>
      <c r="B20" s="3" t="s">
        <v>101</v>
      </c>
      <c r="C20" s="2" t="s">
        <v>102</v>
      </c>
      <c r="D20" s="2"/>
      <c r="E20" s="2"/>
    </row>
    <row r="21" customFormat="false" ht="34.5" hidden="false" customHeight="true" outlineLevel="0" collapsed="false">
      <c r="A21" s="32" t="s">
        <v>103</v>
      </c>
      <c r="B21" s="33" t="s">
        <v>104</v>
      </c>
      <c r="C21" s="34" t="s">
        <v>105</v>
      </c>
      <c r="D21" s="34"/>
      <c r="E21" s="34"/>
    </row>
    <row r="22" customFormat="false" ht="34.5" hidden="false" customHeight="true" outlineLevel="0" collapsed="false">
      <c r="A22" s="32" t="s">
        <v>106</v>
      </c>
      <c r="B22" s="33" t="s">
        <v>107</v>
      </c>
      <c r="C22" s="34" t="s">
        <v>108</v>
      </c>
      <c r="D22" s="34"/>
      <c r="E22" s="34"/>
    </row>
    <row r="23" customFormat="false" ht="34.5" hidden="false" customHeight="true" outlineLevel="0" collapsed="false">
      <c r="A23" s="32" t="s">
        <v>109</v>
      </c>
      <c r="B23" s="33" t="s">
        <v>110</v>
      </c>
      <c r="C23" s="34" t="s">
        <v>111</v>
      </c>
      <c r="D23" s="34"/>
      <c r="E23" s="34"/>
    </row>
    <row r="24" customFormat="false" ht="34.5" hidden="false" customHeight="true" outlineLevel="0" collapsed="false">
      <c r="A24" s="32" t="s">
        <v>112</v>
      </c>
      <c r="B24" s="33" t="s">
        <v>113</v>
      </c>
      <c r="C24" s="34" t="s">
        <v>114</v>
      </c>
      <c r="D24" s="34"/>
      <c r="E24" s="34"/>
    </row>
    <row r="25" customFormat="false" ht="34.5" hidden="false" customHeight="true" outlineLevel="0" collapsed="false">
      <c r="A25" s="32" t="s">
        <v>115</v>
      </c>
      <c r="B25" s="33" t="s">
        <v>116</v>
      </c>
      <c r="C25" s="34" t="s">
        <v>117</v>
      </c>
      <c r="D25" s="34"/>
      <c r="E25" s="34"/>
    </row>
  </sheetData>
  <mergeCells count="10">
    <mergeCell ref="A1:E1"/>
    <mergeCell ref="A3:E3"/>
    <mergeCell ref="A10:E10"/>
    <mergeCell ref="A19:E19"/>
    <mergeCell ref="C20:E20"/>
    <mergeCell ref="C21:E21"/>
    <mergeCell ref="C22:E22"/>
    <mergeCell ref="C23:E23"/>
    <mergeCell ref="C24:E24"/>
    <mergeCell ref="C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2026-03-29T02:25:45Z</dcterms:created>
  <dc:creator>openpyxl</dc:creator>
  <dc:description/>
  <dc:language>en-US</dc:language>
  <cp:lastModifiedBy/>
  <dcterms:modified xsi:type="dcterms:W3CDTF">2026-03-29T02:25:46Z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